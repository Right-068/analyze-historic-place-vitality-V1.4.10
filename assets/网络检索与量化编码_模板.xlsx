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样本明细" sheetId="1" r:id="rId1"/>
    <sheet name="来源页面" sheetId="2" r:id="rId2"/>
    <sheet name="主题编码" sheetId="3" r:id="rId3"/>
    <sheet name="七维评分" sheetId="4" r:id="rId4"/>
    <sheet name="检索日志" sheetId="5" r:id="rId5"/>
    <sheet name="数据限制说明" sheetId="6" r:id="rId6"/>
    <sheet name="机器可读汇总" sheetId="7" r:id="rId7"/>
  </sheets>
  <definedNames>
    <definedName name="_xlnm._FilterDatabase" localSheetId="3" hidden="1">七维评分!$A$1:$AM$8</definedName>
  </definedNames>
  <calcPr calcId="124519" fullCalcOnLoad="1"/>
</workbook>
</file>

<file path=xl/sharedStrings.xml><?xml version="1.0" encoding="utf-8"?>
<sst xmlns="http://schemas.openxmlformats.org/spreadsheetml/2006/main" count="631" uniqueCount="302">
  <si>
    <t>内部样本编号</t>
  </si>
  <si>
    <t>所属来源页面编号</t>
  </si>
  <si>
    <t>页面标题</t>
  </si>
  <si>
    <t>发布时间/评论时间</t>
  </si>
  <si>
    <t>作者类型</t>
  </si>
  <si>
    <t>内容类型</t>
  </si>
  <si>
    <t>内容长度类别</t>
  </si>
  <si>
    <t>是否明确到访/体验</t>
  </si>
  <si>
    <t>地点相关性</t>
  </si>
  <si>
    <t>是否疑似推广</t>
  </si>
  <si>
    <t>疑似推广判断依据</t>
  </si>
  <si>
    <t>是否有效样本</t>
  </si>
  <si>
    <t>有效性判断说明</t>
  </si>
  <si>
    <t>情感倾向</t>
  </si>
  <si>
    <t>摘要原文</t>
  </si>
  <si>
    <t>必要摘录/匿名化摘要</t>
  </si>
  <si>
    <t>规范化评价主题</t>
  </si>
  <si>
    <t>主题维度标签</t>
  </si>
  <si>
    <t>主要维度</t>
  </si>
  <si>
    <t>次要维度</t>
  </si>
  <si>
    <t>证据类型</t>
  </si>
  <si>
    <t>时间属性</t>
  </si>
  <si>
    <t>来源链接</t>
  </si>
  <si>
    <t>来源类型</t>
  </si>
  <si>
    <t>内容层级</t>
  </si>
  <si>
    <t>是否纳入量化评分</t>
  </si>
  <si>
    <t>情感分值</t>
  </si>
  <si>
    <t>互动点赞数</t>
  </si>
  <si>
    <t>页面显示互动/评论总数</t>
  </si>
  <si>
    <t>时间字段是否完整</t>
  </si>
  <si>
    <t>原生评分值</t>
  </si>
  <si>
    <t>原生量表下界</t>
  </si>
  <si>
    <t>原生量表上界</t>
  </si>
  <si>
    <t>原生评分标准化值</t>
  </si>
  <si>
    <t>语义量化方法</t>
  </si>
  <si>
    <t>语义语言</t>
  </si>
  <si>
    <t>语义分析单位</t>
  </si>
  <si>
    <t>语义分句数</t>
  </si>
  <si>
    <t>词表命中状态</t>
  </si>
  <si>
    <t>词表命中轨迹</t>
  </si>
  <si>
    <t>编码解析状态</t>
  </si>
  <si>
    <t>编码解析候选</t>
  </si>
  <si>
    <t>编码解析轨迹</t>
  </si>
  <si>
    <t>开放编码编号</t>
  </si>
  <si>
    <t>维度判定依据</t>
  </si>
  <si>
    <t>维度判定置信度</t>
  </si>
  <si>
    <t>维度规则命中</t>
  </si>
  <si>
    <t>极性判定依据</t>
  </si>
  <si>
    <t>否定命中</t>
  </si>
  <si>
    <t>程度命中</t>
  </si>
  <si>
    <t>转折命中</t>
  </si>
  <si>
    <t>弱化命中</t>
  </si>
  <si>
    <t>反讽或修辞风险</t>
  </si>
  <si>
    <t>语义连续分</t>
  </si>
  <si>
    <t>语义整数分</t>
  </si>
  <si>
    <t>语义置信度</t>
  </si>
  <si>
    <t>证据可靠性</t>
  </si>
  <si>
    <t>平台内聚合权重</t>
  </si>
  <si>
    <t>语义复核状态</t>
  </si>
  <si>
    <t>正式评分候选资格</t>
  </si>
  <si>
    <t>正式评分排除原因</t>
  </si>
  <si>
    <t>正式评分去重键</t>
  </si>
  <si>
    <t>平台样本状态</t>
  </si>
  <si>
    <t>是否实际进入平台评分</t>
  </si>
  <si>
    <t>正式计分方向</t>
  </si>
  <si>
    <t>语义规则轨迹</t>
  </si>
  <si>
    <t>编码者编号</t>
  </si>
  <si>
    <t>裁决状态</t>
  </si>
  <si>
    <t>备注</t>
  </si>
  <si>
    <t>任务运行编号</t>
  </si>
  <si>
    <t>内部来源编号</t>
  </si>
  <si>
    <t>地点名称</t>
  </si>
  <si>
    <t>实体层级</t>
  </si>
  <si>
    <t>平台或网站</t>
  </si>
  <si>
    <t>域名</t>
  </si>
  <si>
    <t>发布时间</t>
  </si>
  <si>
    <t>检索日期</t>
  </si>
  <si>
    <t>页面URL</t>
  </si>
  <si>
    <t>检索记录编号</t>
  </si>
  <si>
    <t>实际检索词</t>
  </si>
  <si>
    <t>结果排序</t>
  </si>
  <si>
    <t>读取状态</t>
  </si>
  <si>
    <t>选择机制</t>
  </si>
  <si>
    <t>是否相关</t>
  </si>
  <si>
    <t>是否用户来源</t>
  </si>
  <si>
    <t>推广判断依据</t>
  </si>
  <si>
    <t>评分范围</t>
  </si>
  <si>
    <t>去重组</t>
  </si>
  <si>
    <t>原始来源编号</t>
  </si>
  <si>
    <t>证据定位</t>
  </si>
  <si>
    <t>主题编码</t>
  </si>
  <si>
    <t>归属维度</t>
  </si>
  <si>
    <t>方向</t>
  </si>
  <si>
    <t>定义/适用含义</t>
  </si>
  <si>
    <t>全部有效提及数</t>
  </si>
  <si>
    <t>量化样本提及数</t>
  </si>
  <si>
    <t>正面</t>
  </si>
  <si>
    <t>中性</t>
  </si>
  <si>
    <t>负面</t>
  </si>
  <si>
    <t>混合</t>
  </si>
  <si>
    <t>有效内容占比</t>
  </si>
  <si>
    <t>代表性匿名摘录</t>
  </si>
  <si>
    <t>序号</t>
  </si>
  <si>
    <t>维度</t>
  </si>
  <si>
    <t>初始研究权重</t>
  </si>
  <si>
    <t>评分证据状态</t>
  </si>
  <si>
    <t>实际权重</t>
  </si>
  <si>
    <t>检索有效证据数</t>
  </si>
  <si>
    <t>主题覆盖证据数</t>
  </si>
  <si>
    <t>评分候选证据数</t>
  </si>
  <si>
    <t>实际计分证据数</t>
  </si>
  <si>
    <t>计分正面数</t>
  </si>
  <si>
    <t>计分中性数</t>
  </si>
  <si>
    <t>计分负面数</t>
  </si>
  <si>
    <t>有效计分平台数</t>
  </si>
  <si>
    <t>维度候选平台数</t>
  </si>
  <si>
    <t>维度可计分平台数</t>
  </si>
  <si>
    <t>本次纳入平台数</t>
  </si>
  <si>
    <t>平台最低样本规则状态</t>
  </si>
  <si>
    <t>跨平台等权倾向值(-5~+5)</t>
  </si>
  <si>
    <t>跨平台等权维度得分(0~100)</t>
  </si>
  <si>
    <t>加权得分</t>
  </si>
  <si>
    <t>置信度</t>
  </si>
  <si>
    <t>判断依据</t>
  </si>
  <si>
    <t>提及比例</t>
  </si>
  <si>
    <t>提及等级</t>
  </si>
  <si>
    <t>维度（图表）</t>
  </si>
  <si>
    <t>得分（图表）</t>
  </si>
  <si>
    <t>图表数据状态</t>
  </si>
  <si>
    <t>最低有效证据门槛</t>
  </si>
  <si>
    <t>独立来源页数</t>
  </si>
  <si>
    <t>最低来源页门槛</t>
  </si>
  <si>
    <t>来源类型数</t>
  </si>
  <si>
    <t>最低来源类型门槛</t>
  </si>
  <si>
    <t>定向深检轮数</t>
  </si>
  <si>
    <t>最低置信度要求</t>
  </si>
  <si>
    <t>缺口或穷尽说明</t>
  </si>
  <si>
    <t>优先置信度目标</t>
  </si>
  <si>
    <t>中置信度终止审计</t>
  </si>
  <si>
    <t>中置信度终止依据</t>
  </si>
  <si>
    <t>历史文化感知</t>
  </si>
  <si>
    <t>穷尽后仅作定性说明</t>
  </si>
  <si>
    <t>平台样本不足</t>
  </si>
  <si>
    <t>数据不足</t>
  </si>
  <si>
    <t>合法公开路径穷尽后正式计分证据仍不足，只保留定性解释，不输出正式数值。</t>
  </si>
  <si>
    <t>U级（无法判定）</t>
  </si>
  <si>
    <t>数据不足；雷达图保留空点</t>
  </si>
  <si>
    <t>中</t>
  </si>
  <si>
    <t>latest_two_rounds_low_yield</t>
  </si>
  <si>
    <t>中高/高</t>
  </si>
  <si>
    <t>未通过</t>
  </si>
  <si>
    <t>不适用</t>
  </si>
  <si>
    <t>在地文化特征</t>
  </si>
  <si>
    <t>生活文化延续</t>
  </si>
  <si>
    <t>文化实践体验</t>
  </si>
  <si>
    <t>场所氛围体验</t>
  </si>
  <si>
    <t>保护活化感知</t>
  </si>
  <si>
    <t>承载治理体验</t>
  </si>
  <si>
    <t>迭代轮次</t>
  </si>
  <si>
    <t>缺口目标</t>
  </si>
  <si>
    <t>关联维度目标</t>
  </si>
  <si>
    <t>迭代模式</t>
  </si>
  <si>
    <t>本轮前维度置信度</t>
  </si>
  <si>
    <t>检索工具或入口</t>
  </si>
  <si>
    <t>目标来源类型</t>
  </si>
  <si>
    <t>返回结果数量</t>
  </si>
  <si>
    <t>实际打开页面数</t>
  </si>
  <si>
    <t>相关页面数</t>
  </si>
  <si>
    <t>重复页面数</t>
  </si>
  <si>
    <t>本次新增实际计分证据</t>
  </si>
  <si>
    <t>累计实际计分证据</t>
  </si>
  <si>
    <t>是否触发登录</t>
  </si>
  <si>
    <t>是否触发访问限制</t>
  </si>
  <si>
    <t>检索状态</t>
  </si>
  <si>
    <t>下一动作</t>
  </si>
  <si>
    <t>记录类型</t>
  </si>
  <si>
    <t>计划编号</t>
  </si>
  <si>
    <t>执行编号</t>
  </si>
  <si>
    <t>查询编号</t>
  </si>
  <si>
    <t>执行开始时间</t>
  </si>
  <si>
    <t>执行结束时间</t>
  </si>
  <si>
    <t>规范查询意图</t>
  </si>
  <si>
    <t>重试序号</t>
  </si>
  <si>
    <t>重试原因</t>
  </si>
  <si>
    <t>原执行编号</t>
  </si>
  <si>
    <t>重试间隔策略</t>
  </si>
  <si>
    <t>目标平台</t>
  </si>
  <si>
    <t>检索路径</t>
  </si>
  <si>
    <t>正负路径</t>
  </si>
  <si>
    <t>目标主体</t>
  </si>
  <si>
    <t>目标时间情境</t>
  </si>
  <si>
    <t>查询语言</t>
  </si>
  <si>
    <t>限制主题</t>
  </si>
  <si>
    <t>具体说明</t>
  </si>
  <si>
    <t>处理方式</t>
  </si>
  <si>
    <t>对解释的影响</t>
  </si>
  <si>
    <t>公开网络样本边界</t>
  </si>
  <si>
    <t>公开可检索样本不等同于全部居民和游客意见。</t>
  </si>
  <si>
    <t>报告页面数、读取状态、选择机制与未覆盖来源。</t>
  </si>
  <si>
    <t>结论仅适用于本次检索范围。</t>
  </si>
  <si>
    <t>默认来源处理</t>
  </si>
  <si>
    <t>大众点评和小红书在未登录状态下通常触发访问限制，且研究另有独立获取路径。</t>
  </si>
  <si>
    <t>本工作流默认剔除两者，扩展其他公开来源，并在后续把本结果与两类独立获取结果综合。</t>
  </si>
  <si>
    <t>避免重复样本、重复计数和证据层混淆；不因两平台缺失而虚构内容或降低合规标准。</t>
  </si>
  <si>
    <t>project_place</t>
  </si>
  <si>
    <t>retrieval_date</t>
  </si>
  <si>
    <t>search_query_rows</t>
  </si>
  <si>
    <t>source_rows</t>
  </si>
  <si>
    <t>deduplicated_relevant_pages</t>
  </si>
  <si>
    <t>minimum_page_target</t>
  </si>
  <si>
    <t>minimum_page_met</t>
  </si>
  <si>
    <t>readable_source_pages</t>
  </si>
  <si>
    <t>snippet_or_metadata_pages</t>
  </si>
  <si>
    <t>inaccessible_pages</t>
  </si>
  <si>
    <t>represented_source_categories</t>
  </si>
  <si>
    <t>attempted_source_categories</t>
  </si>
  <si>
    <t>user_source_pages</t>
  </si>
  <si>
    <t>evidence_rows</t>
  </si>
  <si>
    <t>valid_evidence_rows</t>
  </si>
  <si>
    <t>scoring_records</t>
  </si>
  <si>
    <t>positive_count</t>
  </si>
  <si>
    <t>positive_rate</t>
  </si>
  <si>
    <t>neutral_count</t>
  </si>
  <si>
    <t>neutral_rate</t>
  </si>
  <si>
    <t>negative_count</t>
  </si>
  <si>
    <t>negative_rate</t>
  </si>
  <si>
    <t>mixed_count</t>
  </si>
  <si>
    <t>mixed_rate</t>
  </si>
  <si>
    <t>score_history_culture</t>
  </si>
  <si>
    <t>score_local_cultural_character</t>
  </si>
  <si>
    <t>score_living_cultural_continuity</t>
  </si>
  <si>
    <t>score_cultural_practice_experience</t>
  </si>
  <si>
    <t>score_place_atmosphere_experience</t>
  </si>
  <si>
    <t>score_conservation_adaptive_reuse</t>
  </si>
  <si>
    <t>score_carrying_governance_experience</t>
  </si>
  <si>
    <t>result_layer_name</t>
  </si>
  <si>
    <t>platform_equal_score</t>
  </si>
  <si>
    <t>sample_weighted_score</t>
  </si>
  <si>
    <t>recommended_final_score</t>
  </si>
  <si>
    <t>confidence</t>
  </si>
  <si>
    <t>time_range</t>
  </si>
  <si>
    <t>scope_rule</t>
  </si>
  <si>
    <t>default_platform_rule</t>
  </si>
  <si>
    <t>complete_comment_claim</t>
  </si>
  <si>
    <t>privacy_rule</t>
  </si>
  <si>
    <t>task_run_id</t>
  </si>
  <si>
    <t>minimum_effective_sample_target</t>
  </si>
  <si>
    <t>minimum_effective_sample_met</t>
  </si>
  <si>
    <t>effective_sample_shortfall</t>
  </si>
  <si>
    <t>deep_iteration_rounds</t>
  </si>
  <si>
    <t>iteration_outcome</t>
  </si>
  <si>
    <t>native_numeric_rows</t>
  </si>
  <si>
    <t>semantic_rule_rows</t>
  </si>
  <si>
    <t>semantic_coding_parse_rows</t>
  </si>
  <si>
    <t>semantic_assisted_rows</t>
  </si>
  <si>
    <t>semantic_manual_rows</t>
  </si>
  <si>
    <t>semantic_auto_eligible_rows</t>
  </si>
  <si>
    <t>semantic_human_confirmed_rows</t>
  </si>
  <si>
    <t>semantic_review_required_rows</t>
  </si>
  <si>
    <t>semantic_low_confidence_rows</t>
  </si>
  <si>
    <t>semantic_figurative_risk_rows</t>
  </si>
  <si>
    <t>semantic_lexicon_zero_hit_rows</t>
  </si>
  <si>
    <t>semantic_coding_candidate_rows</t>
  </si>
  <si>
    <t>semantic_coding_unresolved_rows</t>
  </si>
  <si>
    <t>semantic_mean_confidence</t>
  </si>
  <si>
    <t>semantic_mean_evidence_reliability</t>
  </si>
  <si>
    <t>minimum_dimension_confidence</t>
  </si>
  <si>
    <t>dimensions_high_confidence</t>
  </si>
  <si>
    <t>dimensions_medium_high_confidence</t>
  </si>
  <si>
    <t>dimensions_medium_confidence</t>
  </si>
  <si>
    <t>dimensions_exhausted_low_confidence</t>
  </si>
  <si>
    <t>dimensions_needing_iteration</t>
  </si>
  <si>
    <t>dimension_enhancement_targets</t>
  </si>
  <si>
    <t>dimension_gap_targets</t>
  </si>
  <si>
    <t>dimension_evidence_status_json</t>
  </si>
  <si>
    <t>formal_scoring_schema_version</t>
  </si>
  <si>
    <t>eligible_evidence_units</t>
  </si>
  <si>
    <t>scored_evidence_units</t>
  </si>
  <si>
    <t>scored_positive_units</t>
  </si>
  <si>
    <t>scored_neutral_units</t>
  </si>
  <si>
    <t>scored_negative_units</t>
  </si>
  <si>
    <t>dimension_scoring_summary_json</t>
  </si>
  <si>
    <t>planned_or_nonexecuted_search_rows</t>
  </si>
  <si>
    <t>unique_executed_query_intents</t>
  </si>
  <si>
    <t>legacy_scored_evidence_floor</t>
  </si>
  <si>
    <t>target_confidence</t>
  </si>
  <si>
    <t>per_dimension_scored_evidence_target</t>
  </si>
  <si>
    <t>theoretical_minimum_scored_evidence</t>
  </si>
  <si>
    <t>retrieval_termination_status</t>
  </si>
  <si>
    <t>研究地点</t>
  </si>
  <si>
    <t>否</t>
  </si>
  <si>
    <t>历史文化活态传承感知评价</t>
  </si>
  <si>
    <t>当前公开网络中可检索、可读取样本；页面数不代表互联网总体。</t>
  </si>
  <si>
    <t>大众点评和小红书默认剔除：未登录访问通常受限，且另有独立获取路径；本结果用于后续与两类独立结果综合，避免重复样本、重复计数和证据层混淆。</t>
  </si>
  <si>
    <t>除经核验的官方完整导出外，不声称获得全量评论。</t>
  </si>
  <si>
    <t>不保存密码、验证码、Cookie、Token 或无关个人标识。</t>
  </si>
  <si>
    <t>数据不一致</t>
  </si>
  <si>
    <t>continue_deep_search</t>
  </si>
  <si>
    <t>{"minimum_confidence":"中","preferred_confidence":"中高/高","formal_scoring_schema_version":"formal-scoring-chain-1","dimension_assignment_field":"primary_dimension","dimensions":{"历史文化感知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在地文化特征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生活文化延续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文化实践体验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场所氛围体验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保护活化感知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承载治理体验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}}</t>
  </si>
  <si>
    <t>formal-scoring-chain-1</t>
  </si>
  <si>
    <t>{"历史文化感知":{"weight":0.15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在地文化特征":{"weight":0.15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生活文化延续":{"weight":0.2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文化实践体验":{"weight":0.15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场所氛围体验":{"weight":0.1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保护活化感知":{"weight":0.15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,"承载治理体验":{"weight":0.1,"evidence_audit":{"status":"exhausted_with_shortfall","evaluation_permitted":true,"numeric_score_permitted":false,"retrieved_evidence_units":0,"topic_coverage_evidence_units":0,"eligible_evidence_units":0,"scored_evidence_units":0,"evidence_units":0,"scoring_positive_units":0,"scoring_neutral_units":0,"scoring_negative_units":0,"distinct_source_pages":0,"source_category_count":0,"candidate_platforms":[],"dimension_candidate_platform_count":0,"scorable_platforms":[],"dimension_scorable_platform_count":0,"run_included_platform_count":1,"targeted_deep_rounds":[1,2,3,4],"medium_enhancement_rounds":[],"medium_completion_audit_passed":false,"medium_completion_basis":"","independent_exhaustion_audit_passed":true,"exhaustion_supported":true,"exhaustion_basis":"latest_two_rounds_low_yield","confidence":"数据不足","scoring_confidence":"数据不足"},"eligible_evidence_units":0,"scored_evidence_units":0,"scoring_positive_units":0,"scoring_neutral_units":0,"scoring_negative_units":0,"valid_scoring_platforms":0,"dimension_candidate_platform_count":0,"dimension_scorable_platform_count":0,"run_included_platform_count":0,"platform_minimum_rule_status":"insufficient_platform_samples","scoring_confidence":"数据不足","available_platforms":[],"platform_equal_score":null,"sample_weighted_score":null,"sample_weights":null}}</t>
  </si>
  <si>
    <t>中高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</si>
</sst>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0"/>
      <color rgb="FFFFFFFF"/>
      <name val="Carlito"/>
      <family val="2"/>
    </font>
    <font>
      <sz val="10"/>
      <color theme="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历史文化活态传承七维评分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v>七维得分</c:v>
          </c:tx>
          <c:spPr>
            <a:ln w="25400">
              <a:solidFill>
                <a:srgbClr val="17324D"/>
              </a:solidFill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17324D"/>
                </a:solidFill>
              </a:ln>
            </c:spPr>
          </c:marker>
          <c:cat>
            <c:strRef>
              <c:f>'七维评分'!$Y$2:$Y$8</c:f>
              <c:strCache>
                <c:ptCount val="7"/>
                <c:pt idx="0">
                  <c:v>历史文化感知</c:v>
                </c:pt>
                <c:pt idx="1">
                  <c:v>在地文化特征</c:v>
                </c:pt>
                <c:pt idx="2">
                  <c:v>生活文化延续</c:v>
                </c:pt>
                <c:pt idx="3">
                  <c:v>文化实践体验</c:v>
                </c:pt>
                <c:pt idx="4">
                  <c:v>场所氛围体验</c:v>
                </c:pt>
                <c:pt idx="5">
                  <c:v>保护活化感知</c:v>
                </c:pt>
                <c:pt idx="6">
                  <c:v>承载治理体验</c:v>
                </c:pt>
              </c:strCache>
            </c:strRef>
          </c:cat>
          <c:val>
            <c:numRef>
              <c:f>'七维评分'!$Z$2:$Z$8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</xdr:row>
      <xdr:rowOff>0</xdr:rowOff>
    </xdr:from>
    <xdr:to>
      <xdr:col>48</xdr:col>
      <xdr:colOff>457200</xdr:colOff>
      <xdr:row>14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tailTable" displayName="DetailTable" ref="A1:BR2" totalsRowShown="0">
  <autoFilter ref="A1:BR2"/>
  <tableColumns count="70">
    <tableColumn id="1" name="内部样本编号"/>
    <tableColumn id="2" name="所属来源页面编号"/>
    <tableColumn id="3" name="页面标题"/>
    <tableColumn id="4" name="发布时间/评论时间"/>
    <tableColumn id="5" name="作者类型"/>
    <tableColumn id="6" name="内容类型"/>
    <tableColumn id="7" name="内容长度类别"/>
    <tableColumn id="8" name="是否明确到访/体验"/>
    <tableColumn id="9" name="地点相关性"/>
    <tableColumn id="10" name="是否疑似推广"/>
    <tableColumn id="11" name="疑似推广判断依据"/>
    <tableColumn id="12" name="是否有效样本"/>
    <tableColumn id="13" name="有效性判断说明"/>
    <tableColumn id="14" name="情感倾向"/>
    <tableColumn id="15" name="摘要原文"/>
    <tableColumn id="16" name="必要摘录/匿名化摘要"/>
    <tableColumn id="17" name="规范化评价主题"/>
    <tableColumn id="18" name="主题维度标签"/>
    <tableColumn id="19" name="主要维度"/>
    <tableColumn id="20" name="次要维度"/>
    <tableColumn id="21" name="证据类型"/>
    <tableColumn id="22" name="时间属性"/>
    <tableColumn id="23" name="来源链接"/>
    <tableColumn id="24" name="来源类型"/>
    <tableColumn id="25" name="内容层级"/>
    <tableColumn id="26" name="是否纳入量化评分"/>
    <tableColumn id="27" name="情感分值"/>
    <tableColumn id="28" name="互动点赞数"/>
    <tableColumn id="29" name="页面显示互动/评论总数"/>
    <tableColumn id="30" name="时间字段是否完整"/>
    <tableColumn id="31" name="原生评分值"/>
    <tableColumn id="32" name="原生量表下界"/>
    <tableColumn id="33" name="原生量表上界"/>
    <tableColumn id="34" name="原生评分标准化值"/>
    <tableColumn id="35" name="语义量化方法"/>
    <tableColumn id="36" name="语义语言"/>
    <tableColumn id="37" name="语义分析单位"/>
    <tableColumn id="38" name="语义分句数"/>
    <tableColumn id="39" name="词表命中状态"/>
    <tableColumn id="40" name="词表命中轨迹"/>
    <tableColumn id="41" name="编码解析状态"/>
    <tableColumn id="42" name="编码解析候选"/>
    <tableColumn id="43" name="编码解析轨迹"/>
    <tableColumn id="44" name="开放编码编号"/>
    <tableColumn id="45" name="维度判定依据"/>
    <tableColumn id="46" name="维度判定置信度"/>
    <tableColumn id="47" name="维度规则命中"/>
    <tableColumn id="48" name="极性判定依据"/>
    <tableColumn id="49" name="否定命中"/>
    <tableColumn id="50" name="程度命中"/>
    <tableColumn id="51" name="转折命中"/>
    <tableColumn id="52" name="弱化命中"/>
    <tableColumn id="53" name="反讽或修辞风险"/>
    <tableColumn id="54" name="语义连续分"/>
    <tableColumn id="55" name="语义整数分"/>
    <tableColumn id="56" name="语义置信度"/>
    <tableColumn id="57" name="证据可靠性"/>
    <tableColumn id="58" name="平台内聚合权重"/>
    <tableColumn id="59" name="语义复核状态"/>
    <tableColumn id="60" name="正式评分候选资格"/>
    <tableColumn id="61" name="正式评分排除原因"/>
    <tableColumn id="62" name="正式评分去重键"/>
    <tableColumn id="63" name="平台样本状态"/>
    <tableColumn id="64" name="是否实际进入平台评分"/>
    <tableColumn id="65" name="正式计分方向"/>
    <tableColumn id="66" name="语义规则轨迹"/>
    <tableColumn id="67" name="编码者编号"/>
    <tableColumn id="68" name="裁决状态"/>
    <tableColumn id="69" name="备注"/>
    <tableColumn id="70" name="任务运行编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PagesTable" displayName="SourcePagesTable" ref="A1:AA2" totalsRowShown="0">
  <autoFilter ref="A1:AA2"/>
  <tableColumns count="27">
    <tableColumn id="1" name="内部来源编号"/>
    <tableColumn id="2" name="地点名称"/>
    <tableColumn id="3" name="实体层级"/>
    <tableColumn id="4" name="平台或网站"/>
    <tableColumn id="5" name="域名"/>
    <tableColumn id="6" name="来源类型"/>
    <tableColumn id="7" name="页面标题"/>
    <tableColumn id="8" name="发布时间"/>
    <tableColumn id="9" name="检索日期"/>
    <tableColumn id="10" name="页面URL"/>
    <tableColumn id="11" name="检索记录编号"/>
    <tableColumn id="12" name="实际检索词"/>
    <tableColumn id="13" name="结果排序"/>
    <tableColumn id="14" name="读取状态"/>
    <tableColumn id="15" name="内容层级"/>
    <tableColumn id="16" name="选择机制"/>
    <tableColumn id="17" name="是否相关"/>
    <tableColumn id="18" name="是否用户来源"/>
    <tableColumn id="19" name="是否疑似推广"/>
    <tableColumn id="20" name="推广判断依据"/>
    <tableColumn id="21" name="是否纳入量化评分"/>
    <tableColumn id="22" name="评分范围"/>
    <tableColumn id="23" name="去重组"/>
    <tableColumn id="24" name="原始来源编号"/>
    <tableColumn id="25" name="证据定位"/>
    <tableColumn id="26" name="备注"/>
    <tableColumn id="27" name="任务运行编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emesTable" displayName="ThemesTable" ref="A1:M2" totalsRowShown="0">
  <autoFilter ref="A1:M2"/>
  <tableColumns count="13">
    <tableColumn id="1" name="主题编码"/>
    <tableColumn id="2" name="规范化评价主题"/>
    <tableColumn id="3" name="归属维度"/>
    <tableColumn id="4" name="方向"/>
    <tableColumn id="5" name="定义/适用含义"/>
    <tableColumn id="6" name="全部有效提及数"/>
    <tableColumn id="7" name="量化样本提及数"/>
    <tableColumn id="8" name="正面"/>
    <tableColumn id="9" name="中性"/>
    <tableColumn id="10" name="负面"/>
    <tableColumn id="11" name="混合"/>
    <tableColumn id="12" name="有效内容占比"/>
    <tableColumn id="13" name="代表性匿名摘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archLogTable" displayName="SearchLogTable" ref="A1:AM2" totalsRowShown="0">
  <autoFilter ref="A1:AM2"/>
  <tableColumns count="39">
    <tableColumn id="1" name="任务运行编号"/>
    <tableColumn id="2" name="检索记录编号"/>
    <tableColumn id="3" name="迭代轮次"/>
    <tableColumn id="4" name="缺口目标"/>
    <tableColumn id="5" name="关联维度目标"/>
    <tableColumn id="6" name="迭代模式"/>
    <tableColumn id="7" name="本轮前维度置信度"/>
    <tableColumn id="8" name="检索日期"/>
    <tableColumn id="9" name="检索工具或入口"/>
    <tableColumn id="10" name="实际检索词"/>
    <tableColumn id="11" name="目标来源类型"/>
    <tableColumn id="12" name="返回结果数量"/>
    <tableColumn id="13" name="实际打开页面数"/>
    <tableColumn id="14" name="相关页面数"/>
    <tableColumn id="15" name="重复页面数"/>
    <tableColumn id="16" name="本次新增实际计分证据"/>
    <tableColumn id="17" name="累计实际计分证据"/>
    <tableColumn id="18" name="是否触发登录"/>
    <tableColumn id="19" name="是否触发访问限制"/>
    <tableColumn id="20" name="检索状态"/>
    <tableColumn id="21" name="下一动作"/>
    <tableColumn id="22" name="备注"/>
    <tableColumn id="23" name="记录类型"/>
    <tableColumn id="24" name="计划编号"/>
    <tableColumn id="25" name="执行编号"/>
    <tableColumn id="26" name="查询编号"/>
    <tableColumn id="27" name="执行开始时间"/>
    <tableColumn id="28" name="执行结束时间"/>
    <tableColumn id="29" name="规范查询意图"/>
    <tableColumn id="30" name="重试序号"/>
    <tableColumn id="31" name="重试原因"/>
    <tableColumn id="32" name="原执行编号"/>
    <tableColumn id="33" name="重试间隔策略"/>
    <tableColumn id="34" name="目标平台"/>
    <tableColumn id="35" name="检索路径"/>
    <tableColumn id="36" name="正负路径"/>
    <tableColumn id="37" name="目标主体"/>
    <tableColumn id="38" name="目标时间情境"/>
    <tableColumn id="39" name="查询语言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mitationsTable" displayName="LimitationsTable" ref="A1:D3" totalsRowShown="0">
  <autoFilter ref="A1:D3"/>
  <tableColumns count="4">
    <tableColumn id="1" name="限制主题"/>
    <tableColumn id="2" name="具体说明"/>
    <tableColumn id="3" name="处理方式"/>
    <tableColumn id="4" name="对解释的影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chineSummaryTable" displayName="MachineSummaryTable" ref="A1:CG2" totalsRowShown="0">
  <autoFilter ref="A1:CG2"/>
  <tableColumns count="85">
    <tableColumn id="1" name="project_place"/>
    <tableColumn id="2" name="retrieval_date"/>
    <tableColumn id="3" name="search_query_rows"/>
    <tableColumn id="4" name="source_rows"/>
    <tableColumn id="5" name="deduplicated_relevant_pages"/>
    <tableColumn id="6" name="minimum_page_target"/>
    <tableColumn id="7" name="minimum_page_met"/>
    <tableColumn id="8" name="readable_source_pages"/>
    <tableColumn id="9" name="snippet_or_metadata_pages"/>
    <tableColumn id="10" name="inaccessible_pages"/>
    <tableColumn id="11" name="represented_source_categories"/>
    <tableColumn id="12" name="attempted_source_categories"/>
    <tableColumn id="13" name="user_source_pages"/>
    <tableColumn id="14" name="evidence_rows"/>
    <tableColumn id="15" name="valid_evidence_rows"/>
    <tableColumn id="16" name="scoring_records"/>
    <tableColumn id="17" name="positive_count"/>
    <tableColumn id="18" name="positive_rate"/>
    <tableColumn id="19" name="neutral_count"/>
    <tableColumn id="20" name="neutral_rate"/>
    <tableColumn id="21" name="negative_count"/>
    <tableColumn id="22" name="negative_rate"/>
    <tableColumn id="23" name="mixed_count"/>
    <tableColumn id="24" name="mixed_rate"/>
    <tableColumn id="25" name="score_history_culture"/>
    <tableColumn id="26" name="score_local_cultural_character"/>
    <tableColumn id="27" name="score_living_cultural_continuity"/>
    <tableColumn id="28" name="score_cultural_practice_experience"/>
    <tableColumn id="29" name="score_place_atmosphere_experience"/>
    <tableColumn id="30" name="score_conservation_adaptive_reuse"/>
    <tableColumn id="31" name="score_carrying_governance_experience"/>
    <tableColumn id="32" name="result_layer_name"/>
    <tableColumn id="33" name="platform_equal_score"/>
    <tableColumn id="34" name="sample_weighted_score"/>
    <tableColumn id="35" name="recommended_final_score"/>
    <tableColumn id="36" name="confidence"/>
    <tableColumn id="37" name="time_range"/>
    <tableColumn id="38" name="scope_rule"/>
    <tableColumn id="39" name="default_platform_rule"/>
    <tableColumn id="40" name="complete_comment_claim"/>
    <tableColumn id="41" name="privacy_rule"/>
    <tableColumn id="42" name="task_run_id"/>
    <tableColumn id="43" name="minimum_effective_sample_target"/>
    <tableColumn id="44" name="minimum_effective_sample_met"/>
    <tableColumn id="45" name="effective_sample_shortfall"/>
    <tableColumn id="46" name="deep_iteration_rounds"/>
    <tableColumn id="47" name="iteration_outcome"/>
    <tableColumn id="48" name="native_numeric_rows"/>
    <tableColumn id="49" name="semantic_rule_rows"/>
    <tableColumn id="50" name="semantic_coding_parse_rows"/>
    <tableColumn id="51" name="semantic_assisted_rows"/>
    <tableColumn id="52" name="semantic_manual_rows"/>
    <tableColumn id="53" name="semantic_auto_eligible_rows"/>
    <tableColumn id="54" name="semantic_human_confirmed_rows"/>
    <tableColumn id="55" name="semantic_review_required_rows"/>
    <tableColumn id="56" name="semantic_low_confidence_rows"/>
    <tableColumn id="57" name="semantic_figurative_risk_rows"/>
    <tableColumn id="58" name="semantic_lexicon_zero_hit_rows"/>
    <tableColumn id="59" name="semantic_coding_candidate_rows"/>
    <tableColumn id="60" name="semantic_coding_unresolved_rows"/>
    <tableColumn id="61" name="semantic_mean_confidence"/>
    <tableColumn id="62" name="semantic_mean_evidence_reliability"/>
    <tableColumn id="63" name="minimum_dimension_confidence"/>
    <tableColumn id="64" name="dimensions_high_confidence"/>
    <tableColumn id="65" name="dimensions_medium_high_confidence"/>
    <tableColumn id="66" name="dimensions_medium_confidence"/>
    <tableColumn id="67" name="dimensions_exhausted_low_confidence"/>
    <tableColumn id="68" name="dimensions_needing_iteration"/>
    <tableColumn id="69" name="dimension_enhancement_targets"/>
    <tableColumn id="70" name="dimension_gap_targets"/>
    <tableColumn id="71" name="dimension_evidence_status_json"/>
    <tableColumn id="72" name="formal_scoring_schema_version"/>
    <tableColumn id="73" name="eligible_evidence_units"/>
    <tableColumn id="74" name="scored_evidence_units"/>
    <tableColumn id="75" name="scored_positive_units"/>
    <tableColumn id="76" name="scored_neutral_units"/>
    <tableColumn id="77" name="scored_negative_units"/>
    <tableColumn id="78" name="dimension_scoring_summary_json"/>
    <tableColumn id="79" name="planned_or_nonexecuted_search_rows"/>
    <tableColumn id="80" name="unique_executed_query_intents"/>
    <tableColumn id="81" name="legacy_scored_evidence_floor"/>
    <tableColumn id="82" name="target_confidence"/>
    <tableColumn id="83" name="per_dimension_scored_evidence_target"/>
    <tableColumn id="84" name="theoretical_minimum_scored_evidence"/>
    <tableColumn id="85" name="retrieval_termin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R2"/>
  <sheetViews>
    <sheetView showGridLines="0" tabSelected="1" workbookViewId="0"/>
  </sheetViews>
  <sheetFormatPr defaultRowHeight="15"/>
  <cols>
    <col min="1" max="2" width="16.7109375" customWidth="1"/>
    <col min="3" max="3" width="34.7109375" customWidth="1"/>
    <col min="4" max="10" width="16.7109375" customWidth="1"/>
    <col min="11" max="11" width="34.7109375" customWidth="1"/>
    <col min="12" max="12" width="16.7109375" customWidth="1"/>
    <col min="13" max="13" width="34.7109375" customWidth="1"/>
    <col min="14" max="14" width="16.7109375" customWidth="1"/>
    <col min="15" max="15" width="56.7109375" customWidth="1"/>
    <col min="16" max="16" width="48.7109375" customWidth="1"/>
    <col min="17" max="22" width="16.7109375" customWidth="1"/>
    <col min="23" max="23" width="48.7109375" customWidth="1"/>
    <col min="24" max="36" width="16.7109375" customWidth="1"/>
    <col min="37" max="37" width="52.7109375" customWidth="1"/>
    <col min="38" max="39" width="16.7109375" customWidth="1"/>
    <col min="40" max="40" width="42.7109375" customWidth="1"/>
    <col min="41" max="41" width="16.7109375" customWidth="1"/>
    <col min="42" max="43" width="42.7109375" customWidth="1"/>
    <col min="44" max="46" width="16.7109375" customWidth="1"/>
    <col min="47" max="47" width="42.7109375" customWidth="1"/>
    <col min="48" max="60" width="16.7109375" customWidth="1"/>
    <col min="61" max="61" width="44.7109375" customWidth="1"/>
    <col min="62" max="65" width="16.7109375" customWidth="1"/>
    <col min="66" max="66" width="58.7109375" customWidth="1"/>
    <col min="67" max="68" width="16.7109375" customWidth="1"/>
    <col min="69" max="69" width="34.7109375" customWidth="1"/>
    <col min="70" max="70" width="24.7109375" customWidth="1"/>
  </cols>
  <sheetData>
    <row r="1" spans="1:70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</sheetData>
  <conditionalFormatting sqref="AA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35" right="0.35" top="0.5" bottom="0.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2"/>
  <sheetViews>
    <sheetView showGridLines="0" workbookViewId="0"/>
  </sheetViews>
  <sheetFormatPr defaultRowHeight="15"/>
  <cols>
    <col min="1" max="1" width="14.7109375" customWidth="1"/>
    <col min="2" max="2" width="20.7109375" customWidth="1"/>
    <col min="3" max="3" width="14.7109375" customWidth="1"/>
    <col min="4" max="4" width="20.7109375" customWidth="1"/>
    <col min="5" max="5" width="24.7109375" customWidth="1"/>
    <col min="6" max="6" width="20.7109375" customWidth="1"/>
    <col min="7" max="7" width="42.7109375" customWidth="1"/>
    <col min="8" max="9" width="16.7109375" customWidth="1"/>
    <col min="10" max="10" width="48.7109375" customWidth="1"/>
    <col min="11" max="11" width="14.7109375" customWidth="1"/>
    <col min="12" max="12" width="36.7109375" customWidth="1"/>
    <col min="13" max="13" width="10.7109375" customWidth="1"/>
    <col min="14" max="14" width="16.7109375" customWidth="1"/>
    <col min="15" max="15" width="18.7109375" customWidth="1"/>
    <col min="16" max="16" width="20.7109375" customWidth="1"/>
    <col min="17" max="17" width="12.7109375" customWidth="1"/>
    <col min="18" max="19" width="14.7109375" customWidth="1"/>
    <col min="20" max="20" width="34.7109375" customWidth="1"/>
    <col min="21" max="21" width="16.7109375" customWidth="1"/>
    <col min="22" max="23" width="18.7109375" customWidth="1"/>
    <col min="24" max="24" width="16.7109375" customWidth="1"/>
    <col min="25" max="26" width="34.7109375" customWidth="1"/>
    <col min="27" max="27" width="24.7109375" customWidth="1"/>
  </cols>
  <sheetData>
    <row r="1" spans="1:27" ht="34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23</v>
      </c>
      <c r="G1" s="1" t="s">
        <v>2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24</v>
      </c>
      <c r="P1" s="1" t="s">
        <v>82</v>
      </c>
      <c r="Q1" s="1" t="s">
        <v>83</v>
      </c>
      <c r="R1" s="1" t="s">
        <v>84</v>
      </c>
      <c r="S1" s="1" t="s">
        <v>9</v>
      </c>
      <c r="T1" s="1" t="s">
        <v>85</v>
      </c>
      <c r="U1" s="1" t="s">
        <v>25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68</v>
      </c>
      <c r="AA1" s="1" t="s">
        <v>69</v>
      </c>
    </row>
    <row r="2" spans="1:27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35" right="0.35" top="0.5" bottom="0.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"/>
  <sheetViews>
    <sheetView showGridLines="0" workbookViewId="0"/>
  </sheetViews>
  <sheetFormatPr defaultRowHeight="15"/>
  <cols>
    <col min="1" max="1" width="12.7109375" customWidth="1"/>
    <col min="2" max="2" width="26.7109375" customWidth="1"/>
    <col min="3" max="3" width="24.7109375" customWidth="1"/>
    <col min="4" max="4" width="12.7109375" customWidth="1"/>
    <col min="5" max="5" width="42.7109375" customWidth="1"/>
    <col min="6" max="7" width="14.7109375" customWidth="1"/>
    <col min="8" max="11" width="10.7109375" customWidth="1"/>
    <col min="12" max="12" width="16.7109375" customWidth="1"/>
    <col min="13" max="13" width="48.7109375" customWidth="1"/>
  </cols>
  <sheetData>
    <row r="1" spans="1:13" ht="34" customHeight="1">
      <c r="A1" s="1" t="s">
        <v>90</v>
      </c>
      <c r="B1" s="1" t="s">
        <v>16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pageMargins left="0.35" right="0.35" top="0.5" bottom="0.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8"/>
  <sheetViews>
    <sheetView showGridLines="0" workbookViewId="0"/>
  </sheetViews>
  <sheetFormatPr defaultRowHeight="15"/>
  <cols>
    <col min="1" max="1" width="8.7109375" customWidth="1"/>
    <col min="2" max="2" width="26.7109375" customWidth="1"/>
    <col min="3" max="3" width="12.7109375" customWidth="1"/>
    <col min="4" max="4" width="22.7109375" customWidth="1"/>
    <col min="5" max="5" width="12.7109375" customWidth="1"/>
    <col min="6" max="7" width="16.7109375" customWidth="1"/>
    <col min="8" max="9" width="18.7109375" customWidth="1"/>
    <col min="10" max="12" width="14.7109375" customWidth="1"/>
    <col min="13" max="16" width="16.7109375" customWidth="1"/>
    <col min="17" max="17" width="24.7109375" customWidth="1"/>
    <col min="18" max="18" width="16.7109375" customWidth="1"/>
    <col min="19" max="19" width="18.7109375" customWidth="1"/>
    <col min="20" max="21" width="14.7109375" customWidth="1"/>
    <col min="22" max="22" width="48.7109375" customWidth="1"/>
    <col min="23" max="23" width="16.7109375" customWidth="1"/>
    <col min="24" max="24" width="12.7109375" customWidth="1"/>
    <col min="25" max="25" width="26.7109375" customWidth="1"/>
    <col min="26" max="26" width="14.7109375" customWidth="1"/>
    <col min="27" max="27" width="18.7109375" customWidth="1"/>
    <col min="28" max="28" width="30.7109375" customWidth="1"/>
    <col min="29" max="29" width="18.7109375" customWidth="1"/>
    <col min="30" max="30" width="16.7109375" customWidth="1"/>
    <col min="31" max="31" width="18.7109375" customWidth="1"/>
    <col min="32" max="32" width="14.7109375" customWidth="1"/>
    <col min="33" max="33" width="18.7109375" customWidth="1"/>
    <col min="34" max="35" width="16.7109375" customWidth="1"/>
    <col min="36" max="36" width="52.7109375" customWidth="1"/>
    <col min="37" max="37" width="18.7109375" customWidth="1"/>
    <col min="38" max="38" width="22.7109375" customWidth="1"/>
    <col min="39" max="39" width="38.7109375" customWidth="1"/>
  </cols>
  <sheetData>
    <row r="1" spans="1:39" ht="34" customHeight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68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</row>
    <row r="2" spans="1:39" ht="25.5" customHeight="1">
      <c r="A2" s="3">
        <v>1</v>
      </c>
      <c r="B2" s="2" t="s">
        <v>140</v>
      </c>
      <c r="C2" s="4">
        <v>0.15</v>
      </c>
      <c r="D2" s="2" t="s">
        <v>141</v>
      </c>
      <c r="E2" s="2"/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2" t="s">
        <v>142</v>
      </c>
      <c r="R2" s="2"/>
      <c r="S2" s="2"/>
      <c r="T2" s="2"/>
      <c r="U2" s="2" t="s">
        <v>143</v>
      </c>
      <c r="V2" s="2" t="s">
        <v>144</v>
      </c>
      <c r="W2" s="4">
        <v>0</v>
      </c>
      <c r="X2" s="2" t="s">
        <v>145</v>
      </c>
      <c r="Y2" s="2" t="s">
        <v>140</v>
      </c>
      <c r="Z2" s="2"/>
      <c r="AA2" s="2" t="s">
        <v>146</v>
      </c>
      <c r="AB2" s="2"/>
      <c r="AC2" s="3">
        <v>25</v>
      </c>
      <c r="AD2" s="3">
        <v>0</v>
      </c>
      <c r="AE2" s="3">
        <v>12</v>
      </c>
      <c r="AF2" s="3">
        <v>0</v>
      </c>
      <c r="AG2" s="3">
        <v>3</v>
      </c>
      <c r="AH2" s="3">
        <v>4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</row>
    <row r="3" spans="1:39" ht="25.5" customHeight="1">
      <c r="A3" s="3">
        <v>2</v>
      </c>
      <c r="B3" s="2" t="s">
        <v>152</v>
      </c>
      <c r="C3" s="4">
        <v>0.15</v>
      </c>
      <c r="D3" s="2" t="s">
        <v>141</v>
      </c>
      <c r="E3" s="2"/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2" t="s">
        <v>142</v>
      </c>
      <c r="R3" s="2"/>
      <c r="S3" s="2"/>
      <c r="T3" s="2"/>
      <c r="U3" s="2" t="s">
        <v>143</v>
      </c>
      <c r="V3" s="2" t="s">
        <v>144</v>
      </c>
      <c r="W3" s="4">
        <v>0</v>
      </c>
      <c r="X3" s="2" t="s">
        <v>145</v>
      </c>
      <c r="Y3" s="2" t="s">
        <v>152</v>
      </c>
      <c r="Z3" s="2"/>
      <c r="AA3" s="2" t="s">
        <v>146</v>
      </c>
      <c r="AB3" s="2"/>
      <c r="AC3" s="3">
        <v>25</v>
      </c>
      <c r="AD3" s="3">
        <v>0</v>
      </c>
      <c r="AE3" s="3">
        <v>12</v>
      </c>
      <c r="AF3" s="3">
        <v>0</v>
      </c>
      <c r="AG3" s="3">
        <v>3</v>
      </c>
      <c r="AH3" s="3">
        <v>4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</row>
    <row r="4" spans="1:39" ht="25.5" customHeight="1">
      <c r="A4" s="3">
        <v>3</v>
      </c>
      <c r="B4" s="2" t="s">
        <v>153</v>
      </c>
      <c r="C4" s="4">
        <v>0.2</v>
      </c>
      <c r="D4" s="2" t="s">
        <v>141</v>
      </c>
      <c r="E4" s="2"/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2" t="s">
        <v>142</v>
      </c>
      <c r="R4" s="2"/>
      <c r="S4" s="2"/>
      <c r="T4" s="2"/>
      <c r="U4" s="2" t="s">
        <v>143</v>
      </c>
      <c r="V4" s="2" t="s">
        <v>144</v>
      </c>
      <c r="W4" s="4">
        <v>0</v>
      </c>
      <c r="X4" s="2" t="s">
        <v>145</v>
      </c>
      <c r="Y4" s="2" t="s">
        <v>153</v>
      </c>
      <c r="Z4" s="2"/>
      <c r="AA4" s="2" t="s">
        <v>146</v>
      </c>
      <c r="AB4" s="2"/>
      <c r="AC4" s="3">
        <v>25</v>
      </c>
      <c r="AD4" s="3">
        <v>0</v>
      </c>
      <c r="AE4" s="3">
        <v>12</v>
      </c>
      <c r="AF4" s="3">
        <v>0</v>
      </c>
      <c r="AG4" s="3">
        <v>3</v>
      </c>
      <c r="AH4" s="3">
        <v>4</v>
      </c>
      <c r="AI4" s="2" t="s">
        <v>147</v>
      </c>
      <c r="AJ4" s="2" t="s">
        <v>148</v>
      </c>
      <c r="AK4" s="2" t="s">
        <v>149</v>
      </c>
      <c r="AL4" s="2" t="s">
        <v>150</v>
      </c>
      <c r="AM4" s="2" t="s">
        <v>151</v>
      </c>
    </row>
    <row r="5" spans="1:39" ht="25.5" customHeight="1">
      <c r="A5" s="3">
        <v>4</v>
      </c>
      <c r="B5" s="2" t="s">
        <v>154</v>
      </c>
      <c r="C5" s="4">
        <v>0.15</v>
      </c>
      <c r="D5" s="2" t="s">
        <v>141</v>
      </c>
      <c r="E5" s="2"/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2" t="s">
        <v>142</v>
      </c>
      <c r="R5" s="2"/>
      <c r="S5" s="2"/>
      <c r="T5" s="2"/>
      <c r="U5" s="2" t="s">
        <v>143</v>
      </c>
      <c r="V5" s="2" t="s">
        <v>144</v>
      </c>
      <c r="W5" s="4">
        <v>0</v>
      </c>
      <c r="X5" s="2" t="s">
        <v>145</v>
      </c>
      <c r="Y5" s="2" t="s">
        <v>154</v>
      </c>
      <c r="Z5" s="2"/>
      <c r="AA5" s="2" t="s">
        <v>146</v>
      </c>
      <c r="AB5" s="2"/>
      <c r="AC5" s="3">
        <v>25</v>
      </c>
      <c r="AD5" s="3">
        <v>0</v>
      </c>
      <c r="AE5" s="3">
        <v>12</v>
      </c>
      <c r="AF5" s="3">
        <v>0</v>
      </c>
      <c r="AG5" s="3">
        <v>3</v>
      </c>
      <c r="AH5" s="3">
        <v>4</v>
      </c>
      <c r="AI5" s="2" t="s">
        <v>147</v>
      </c>
      <c r="AJ5" s="2" t="s">
        <v>148</v>
      </c>
      <c r="AK5" s="2" t="s">
        <v>149</v>
      </c>
      <c r="AL5" s="2" t="s">
        <v>150</v>
      </c>
      <c r="AM5" s="2" t="s">
        <v>151</v>
      </c>
    </row>
    <row r="6" spans="1:39" ht="25.5" customHeight="1">
      <c r="A6" s="3">
        <v>5</v>
      </c>
      <c r="B6" s="2" t="s">
        <v>155</v>
      </c>
      <c r="C6" s="4">
        <v>0.1</v>
      </c>
      <c r="D6" s="2" t="s">
        <v>141</v>
      </c>
      <c r="E6" s="2"/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2" t="s">
        <v>142</v>
      </c>
      <c r="R6" s="2"/>
      <c r="S6" s="2"/>
      <c r="T6" s="2"/>
      <c r="U6" s="2" t="s">
        <v>143</v>
      </c>
      <c r="V6" s="2" t="s">
        <v>144</v>
      </c>
      <c r="W6" s="4">
        <v>0</v>
      </c>
      <c r="X6" s="2" t="s">
        <v>145</v>
      </c>
      <c r="Y6" s="2" t="s">
        <v>155</v>
      </c>
      <c r="Z6" s="2"/>
      <c r="AA6" s="2" t="s">
        <v>146</v>
      </c>
      <c r="AB6" s="2"/>
      <c r="AC6" s="3">
        <v>25</v>
      </c>
      <c r="AD6" s="3">
        <v>0</v>
      </c>
      <c r="AE6" s="3">
        <v>12</v>
      </c>
      <c r="AF6" s="3">
        <v>0</v>
      </c>
      <c r="AG6" s="3">
        <v>3</v>
      </c>
      <c r="AH6" s="3">
        <v>4</v>
      </c>
      <c r="AI6" s="2" t="s">
        <v>147</v>
      </c>
      <c r="AJ6" s="2" t="s">
        <v>148</v>
      </c>
      <c r="AK6" s="2" t="s">
        <v>149</v>
      </c>
      <c r="AL6" s="2" t="s">
        <v>150</v>
      </c>
      <c r="AM6" s="2" t="s">
        <v>151</v>
      </c>
    </row>
    <row r="7" spans="1:39" ht="25.5" customHeight="1">
      <c r="A7" s="3">
        <v>6</v>
      </c>
      <c r="B7" s="2" t="s">
        <v>156</v>
      </c>
      <c r="C7" s="4">
        <v>0.15</v>
      </c>
      <c r="D7" s="2" t="s">
        <v>141</v>
      </c>
      <c r="E7" s="2"/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2" t="s">
        <v>142</v>
      </c>
      <c r="R7" s="2"/>
      <c r="S7" s="2"/>
      <c r="T7" s="2"/>
      <c r="U7" s="2" t="s">
        <v>143</v>
      </c>
      <c r="V7" s="2" t="s">
        <v>144</v>
      </c>
      <c r="W7" s="4">
        <v>0</v>
      </c>
      <c r="X7" s="2" t="s">
        <v>145</v>
      </c>
      <c r="Y7" s="2" t="s">
        <v>156</v>
      </c>
      <c r="Z7" s="2"/>
      <c r="AA7" s="2" t="s">
        <v>146</v>
      </c>
      <c r="AB7" s="2"/>
      <c r="AC7" s="3">
        <v>25</v>
      </c>
      <c r="AD7" s="3">
        <v>0</v>
      </c>
      <c r="AE7" s="3">
        <v>12</v>
      </c>
      <c r="AF7" s="3">
        <v>0</v>
      </c>
      <c r="AG7" s="3">
        <v>3</v>
      </c>
      <c r="AH7" s="3">
        <v>4</v>
      </c>
      <c r="AI7" s="2" t="s">
        <v>147</v>
      </c>
      <c r="AJ7" s="2" t="s">
        <v>148</v>
      </c>
      <c r="AK7" s="2" t="s">
        <v>149</v>
      </c>
      <c r="AL7" s="2" t="s">
        <v>150</v>
      </c>
      <c r="AM7" s="2" t="s">
        <v>151</v>
      </c>
    </row>
    <row r="8" spans="1:39" ht="25.5" customHeight="1">
      <c r="A8" s="3">
        <v>7</v>
      </c>
      <c r="B8" s="2" t="s">
        <v>157</v>
      </c>
      <c r="C8" s="4">
        <v>0.1</v>
      </c>
      <c r="D8" s="2" t="s">
        <v>141</v>
      </c>
      <c r="E8" s="2"/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2" t="s">
        <v>142</v>
      </c>
      <c r="R8" s="2"/>
      <c r="S8" s="2"/>
      <c r="T8" s="2"/>
      <c r="U8" s="2" t="s">
        <v>143</v>
      </c>
      <c r="V8" s="2" t="s">
        <v>144</v>
      </c>
      <c r="W8" s="4">
        <v>0</v>
      </c>
      <c r="X8" s="2" t="s">
        <v>145</v>
      </c>
      <c r="Y8" s="2" t="s">
        <v>157</v>
      </c>
      <c r="Z8" s="2"/>
      <c r="AA8" s="2" t="s">
        <v>146</v>
      </c>
      <c r="AB8" s="2"/>
      <c r="AC8" s="3">
        <v>25</v>
      </c>
      <c r="AD8" s="3">
        <v>0</v>
      </c>
      <c r="AE8" s="3">
        <v>12</v>
      </c>
      <c r="AF8" s="3">
        <v>0</v>
      </c>
      <c r="AG8" s="3">
        <v>3</v>
      </c>
      <c r="AH8" s="3">
        <v>4</v>
      </c>
      <c r="AI8" s="2" t="s">
        <v>147</v>
      </c>
      <c r="AJ8" s="2" t="s">
        <v>148</v>
      </c>
      <c r="AK8" s="2" t="s">
        <v>149</v>
      </c>
      <c r="AL8" s="2" t="s">
        <v>150</v>
      </c>
      <c r="AM8" s="2" t="s">
        <v>151</v>
      </c>
    </row>
  </sheetData>
  <autoFilter ref="A1:AM8"/>
  <conditionalFormatting sqref="S2:S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35" right="0.35" top="0.5" bottom="0.5" header="0.3" footer="0.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"/>
  <sheetViews>
    <sheetView showGridLines="0" workbookViewId="0"/>
  </sheetViews>
  <sheetFormatPr defaultRowHeight="15"/>
  <cols>
    <col min="1" max="1" width="24.7109375" customWidth="1"/>
    <col min="2" max="2" width="14.7109375" customWidth="1"/>
    <col min="3" max="3" width="12.7109375" customWidth="1"/>
    <col min="4" max="4" width="30.7109375" customWidth="1"/>
    <col min="5" max="5" width="20.7109375" customWidth="1"/>
    <col min="6" max="6" width="18.7109375" customWidth="1"/>
    <col min="7" max="7" width="16.7109375" customWidth="1"/>
    <col min="8" max="8" width="22.7109375" customWidth="1"/>
    <col min="9" max="9" width="42.7109375" customWidth="1"/>
    <col min="10" max="10" width="22.7109375" customWidth="1"/>
    <col min="11" max="11" width="14.7109375" customWidth="1"/>
    <col min="12" max="12" width="16.7109375" customWidth="1"/>
    <col min="13" max="14" width="14.7109375" customWidth="1"/>
    <col min="15" max="15" width="18.7109375" customWidth="1"/>
    <col min="16" max="16" width="20.7109375" customWidth="1"/>
    <col min="17" max="17" width="14.7109375" customWidth="1"/>
    <col min="18" max="18" width="18.7109375" customWidth="1"/>
    <col min="19" max="19" width="16.7109375" customWidth="1"/>
    <col min="20" max="20" width="18.7109375" customWidth="1"/>
    <col min="21" max="21" width="36.7109375" customWidth="1"/>
    <col min="22" max="22" width="14.7109375" customWidth="1"/>
    <col min="23" max="24" width="18.7109375" customWidth="1"/>
    <col min="25" max="26" width="22.7109375" customWidth="1"/>
    <col min="27" max="27" width="36.7109375" customWidth="1"/>
    <col min="28" max="28" width="12.7109375" customWidth="1"/>
    <col min="29" max="29" width="22.7109375" customWidth="1"/>
    <col min="30" max="30" width="18.7109375" customWidth="1"/>
    <col min="31" max="31" width="22.7109375" customWidth="1"/>
    <col min="32" max="32" width="20.7109375" customWidth="1"/>
    <col min="33" max="33" width="22.7109375" customWidth="1"/>
    <col min="34" max="34" width="14.7109375" customWidth="1"/>
    <col min="35" max="36" width="18.7109375" customWidth="1"/>
    <col min="37" max="37" width="12.7109375" customWidth="1"/>
  </cols>
  <sheetData>
    <row r="1" spans="1:39" ht="34" customHeight="1">
      <c r="A1" s="1" t="s">
        <v>69</v>
      </c>
      <c r="B1" s="1" t="s">
        <v>78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76</v>
      </c>
      <c r="I1" s="1" t="s">
        <v>163</v>
      </c>
      <c r="J1" s="1" t="s">
        <v>79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68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</row>
    <row r="2" spans="1:39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</sheetData>
  <pageMargins left="0.35" right="0.35" top="0.5" bottom="0.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"/>
  <sheetViews>
    <sheetView showGridLines="0" workbookViewId="0"/>
  </sheetViews>
  <sheetFormatPr defaultRowHeight="15"/>
  <cols>
    <col min="1" max="1" width="22.7109375" customWidth="1"/>
    <col min="2" max="2" width="66.7109375" customWidth="1"/>
    <col min="3" max="4" width="48.7109375" customWidth="1"/>
  </cols>
  <sheetData>
    <row r="1" spans="1:4" ht="34" customHeight="1">
      <c r="A1" s="1" t="s">
        <v>192</v>
      </c>
      <c r="B1" s="1" t="s">
        <v>193</v>
      </c>
      <c r="C1" s="1" t="s">
        <v>194</v>
      </c>
      <c r="D1" s="1" t="s">
        <v>195</v>
      </c>
    </row>
    <row r="2" spans="1:4" ht="25.5" customHeight="1">
      <c r="A2" s="2" t="s">
        <v>196</v>
      </c>
      <c r="B2" s="2" t="s">
        <v>197</v>
      </c>
      <c r="C2" s="2" t="s">
        <v>198</v>
      </c>
      <c r="D2" s="2" t="s">
        <v>199</v>
      </c>
    </row>
    <row r="3" spans="1:4" ht="25.5" customHeight="1">
      <c r="A3" s="2" t="s">
        <v>200</v>
      </c>
      <c r="B3" s="2" t="s">
        <v>201</v>
      </c>
      <c r="C3" s="2" t="s">
        <v>202</v>
      </c>
      <c r="D3" s="2" t="s">
        <v>203</v>
      </c>
    </row>
  </sheetData>
  <pageMargins left="0.35" right="0.35" top="0.5" bottom="0.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G2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8" width="15.7109375" customWidth="1"/>
    <col min="39" max="43" width="42.7109375" customWidth="1"/>
    <col min="44" max="79" width="15.7109375" customWidth="1"/>
    <col min="80" max="80" width="24.7109375" customWidth="1"/>
    <col min="81" max="84" width="18.7109375" customWidth="1"/>
    <col min="85" max="85" width="28.7109375" customWidth="1"/>
  </cols>
  <sheetData>
    <row r="1" spans="1:85" ht="34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248</v>
      </c>
      <c r="AT1" s="1" t="s">
        <v>249</v>
      </c>
      <c r="AU1" s="1" t="s">
        <v>250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</row>
    <row r="2" spans="1:85" ht="84" customHeight="1">
      <c r="A2" s="2" t="s">
        <v>289</v>
      </c>
      <c r="B2" s="2"/>
      <c r="C2" s="2">
        <f>COUNTA(SearchLogTable[检索记录编号])</f>
        <v>0</v>
      </c>
      <c r="D2" s="2">
        <f>COUNTA(SourcePagesTable[内部来源编号])</f>
        <v>0</v>
      </c>
      <c r="E2" s="2">
        <v>0</v>
      </c>
      <c r="F2" s="2">
        <f>150</f>
        <v>150</v>
      </c>
      <c r="G2" s="2" t="str">
        <f>IF(E2&gt;=F2,"是","否")</f>
        <v>否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f>COUNTA(DetailTable[内部样本编号])</f>
        <v>0</v>
      </c>
      <c r="O2" s="2">
        <f>COUNTIF(DetailTable[是否有效样本],"是")</f>
        <v>0</v>
      </c>
      <c r="P2" s="2">
        <f>COUNTIF(DetailTable[是否实际进入平台评分],"是")</f>
        <v>0</v>
      </c>
      <c r="Q2" s="2">
        <f>COUNTIFS(DetailTable[是否实际进入平台评分],"是",DetailTable[正式计分方向],"正向")</f>
        <v>0</v>
      </c>
      <c r="R2" s="4">
        <f>IFERROR(Q2/P2,"")</f>
        <v>None</v>
      </c>
      <c r="S2" s="2">
        <f>COUNTIFS(DetailTable[是否实际进入平台评分],"是",DetailTable[正式计分方向],"中性")</f>
        <v>0</v>
      </c>
      <c r="T2" s="4">
        <f>IFERROR(S2/P2,"")</f>
        <v>None</v>
      </c>
      <c r="U2" s="2">
        <f>COUNTIFS(DetailTable[是否实际进入平台评分],"是",DetailTable[正式计分方向],"负向")</f>
        <v>0</v>
      </c>
      <c r="V2" s="4">
        <f>IFERROR(U2/P2,"")</f>
        <v>None</v>
      </c>
      <c r="W2" s="2">
        <f>0</f>
        <v>0</v>
      </c>
      <c r="X2" s="4">
        <f>IFERROR(W2/P2,"")</f>
        <v>None</v>
      </c>
      <c r="Y2" s="2"/>
      <c r="Z2" s="2"/>
      <c r="AA2" s="2"/>
      <c r="AB2" s="2"/>
      <c r="AC2" s="2"/>
      <c r="AD2" s="2"/>
      <c r="AE2" s="2"/>
      <c r="AF2" s="2" t="s">
        <v>291</v>
      </c>
      <c r="AG2" s="2"/>
      <c r="AH2" s="2"/>
      <c r="AI2" s="2"/>
      <c r="AJ2" s="2" t="s">
        <v>143</v>
      </c>
      <c r="AK2" s="2" t="s">
        <v>143</v>
      </c>
      <c r="AL2" s="2" t="s">
        <v>292</v>
      </c>
      <c r="AM2" s="2" t="s">
        <v>293</v>
      </c>
      <c r="AN2" s="2" t="s">
        <v>294</v>
      </c>
      <c r="AO2" s="2" t="s">
        <v>295</v>
      </c>
      <c r="AP2" s="2" t="s">
        <v>296</v>
      </c>
      <c r="AQ2" s="2">
        <v>280</v>
      </c>
      <c r="AR2" s="2" t="s">
        <v>290</v>
      </c>
      <c r="AS2" s="2">
        <v>280</v>
      </c>
      <c r="AT2" s="2">
        <v>0</v>
      </c>
      <c r="AU2" s="2" t="s">
        <v>297</v>
      </c>
      <c r="AV2" s="2">
        <f>COUNTIF(DetailTable[语义量化方法],"来源原生数值")</f>
        <v>0</v>
      </c>
      <c r="AW2" s="2">
        <f>COUNTIF(DetailTable[语义量化方法],"代码簿规则")</f>
        <v>0</v>
      </c>
      <c r="AX2" s="2">
        <f>COUNTIF(DetailTable[语义量化方法],"编码解析候选")</f>
        <v>0</v>
      </c>
      <c r="AY2" s="2">
        <f>COUNTIF(DetailTable[语义量化方法],"辅助语义编码")</f>
        <v>0</v>
      </c>
      <c r="AZ2" s="2">
        <f>COUNTIF(DetailTable[语义量化方法],"人工编码")</f>
        <v>0</v>
      </c>
      <c r="BA2" s="2">
        <f>COUNTIF(DetailTable[语义复核状态],"自动符合")</f>
        <v>0</v>
      </c>
      <c r="BB2" s="2">
        <f>COUNTIF(DetailTable[语义复核状态],"人工确认")</f>
        <v>0</v>
      </c>
      <c r="BC2" s="2">
        <f>COUNTIF(DetailTable[语义复核状态],"需要复核")</f>
        <v>0</v>
      </c>
      <c r="BD2" s="2">
        <f>COUNTIF(DetailTable[语义置信度],"&lt;0.72")</f>
        <v>0</v>
      </c>
      <c r="BE2" s="2">
        <f>COUNTIF(DetailTable[反讽或修辞风险],"是")</f>
        <v>0</v>
      </c>
      <c r="BF2" s="2">
        <f>COUNTIF(DetailTable[词表命中状态],"未命中")</f>
        <v>0</v>
      </c>
      <c r="BG2" s="2">
        <f>COUNTIF(DetailTable[编码解析状态],"已生成候选")</f>
        <v>0</v>
      </c>
      <c r="BH2" s="2">
        <f>COUNTIF(DetailTable[编码解析状态],"已启动但未解决")</f>
        <v>0</v>
      </c>
      <c r="BI2" s="2">
        <f>IFERROR(AVERAGE(DetailTable[语义置信度]),"")</f>
        <v>None</v>
      </c>
      <c r="BJ2" s="2">
        <f>IFERROR(AVERAGE(DetailTable[证据可靠性]),"")</f>
        <v>None</v>
      </c>
      <c r="BK2" s="2" t="s">
        <v>147</v>
      </c>
      <c r="BL2" s="2">
        <v>0</v>
      </c>
      <c r="BM2" s="2">
        <v>0</v>
      </c>
      <c r="BN2" s="2">
        <v>0</v>
      </c>
      <c r="BO2" s="2">
        <v>7</v>
      </c>
      <c r="BP2" s="2">
        <v>0</v>
      </c>
      <c r="BQ2" s="2"/>
      <c r="BR2" s="2"/>
      <c r="BS2" s="2" t="s">
        <v>298</v>
      </c>
      <c r="BT2" s="2" t="s">
        <v>299</v>
      </c>
      <c r="BU2" s="2">
        <f>COUNTIF(DetailTable[正式评分候选资格],"是")</f>
        <v>0</v>
      </c>
      <c r="BV2" s="2">
        <f>COUNTIF(DetailTable[是否实际进入平台评分],"是")</f>
        <v>0</v>
      </c>
      <c r="BW2" s="2">
        <f>COUNTIFS(DetailTable[是否实际进入平台评分],"是",DetailTable[正式计分方向],"正向")</f>
        <v>0</v>
      </c>
      <c r="BX2" s="2">
        <f>COUNTIFS(DetailTable[是否实际进入平台评分],"是",DetailTable[正式计分方向],"中性")</f>
        <v>0</v>
      </c>
      <c r="BY2" s="2">
        <f>COUNTIFS(DetailTable[是否实际进入平台评分],"是",DetailTable[正式计分方向],"负向")</f>
        <v>0</v>
      </c>
      <c r="BZ2" s="2" t="s">
        <v>300</v>
      </c>
      <c r="CA2" s="2">
        <v>0</v>
      </c>
      <c r="CB2" s="2">
        <v>0</v>
      </c>
      <c r="CC2" s="2">
        <v>100</v>
      </c>
      <c r="CD2" s="2" t="s">
        <v>301</v>
      </c>
      <c r="CE2" s="2">
        <v>40</v>
      </c>
      <c r="CF2" s="2">
        <v>280</v>
      </c>
      <c r="CG2" s="2"/>
    </row>
  </sheetData>
  <pageMargins left="0.35" right="0.3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样本明细</vt:lpstr>
      <vt:lpstr>来源页面</vt:lpstr>
      <vt:lpstr>主题编码</vt:lpstr>
      <vt:lpstr>七维评分</vt:lpstr>
      <vt:lpstr>检索日志</vt:lpstr>
      <vt:lpstr>数据限制说明</vt:lpstr>
      <vt:lpstr>机器可读汇总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研究地点网络检索与量化编码</dc:title>
  <dc:subject>历史文化活力公开网络样本分析</dc:subject>
  <dc:creator>研究工作流</dc:creator>
  <dc:description>页面、证据、主题、评分、检索日志、限制与机器汇总。</dc:description>
  <cp:lastModifiedBy>研究工作流</cp:lastModifiedBy>
  <dcterms:created xsi:type="dcterms:W3CDTF">2026-09-04T17:51:15Z</dcterms:created>
  <dcterms:modified xsi:type="dcterms:W3CDTF">2026-09-04T17:51:15Z</dcterms:modified>
</cp:coreProperties>
</file>